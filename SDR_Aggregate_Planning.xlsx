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M.Tech\2nd sem\opc\End Term\Sdr\"/>
    </mc:Choice>
  </mc:AlternateContent>
  <bookViews>
    <workbookView xWindow="0" yWindow="0" windowWidth="7480" windowHeight="4380" tabRatio="500" firstSheet="2" activeTab="4"/>
  </bookViews>
  <sheets>
    <sheet name="1_Problem_Data" sheetId="1" r:id="rId1"/>
    <sheet name="2_SDR_Optimal_Plan" sheetId="2" r:id="rId2"/>
    <sheet name="3_SDR_Trial_Comparison" sheetId="3" r:id="rId3"/>
    <sheet name="4_Cost_Breakdown" sheetId="4" r:id="rId4"/>
    <sheet name="5_Inventory_Trace" sheetId="5" r:id="rId5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" i="3" l="1"/>
  <c r="N7" i="3"/>
  <c r="N8" i="3"/>
  <c r="N9" i="3"/>
  <c r="N10" i="3"/>
  <c r="N11" i="3"/>
  <c r="N12" i="3"/>
  <c r="N13" i="3"/>
  <c r="N14" i="3"/>
  <c r="N5" i="3"/>
  <c r="J6" i="2"/>
  <c r="J7" i="2"/>
  <c r="J8" i="2"/>
  <c r="J9" i="2"/>
  <c r="J10" i="2"/>
  <c r="J5" i="2"/>
  <c r="N6" i="2"/>
  <c r="N7" i="2"/>
  <c r="N8" i="2"/>
  <c r="N9" i="2"/>
  <c r="N10" i="2"/>
  <c r="M6" i="2"/>
  <c r="M7" i="2"/>
  <c r="M8" i="2"/>
  <c r="M9" i="2"/>
  <c r="M10" i="2"/>
  <c r="F10" i="2"/>
  <c r="H10" i="2" s="1"/>
  <c r="L10" i="2" s="1"/>
  <c r="F9" i="2"/>
  <c r="G9" i="2" s="1"/>
  <c r="K9" i="2" s="1"/>
  <c r="F8" i="2"/>
  <c r="G8" i="2" s="1"/>
  <c r="K8" i="2" s="1"/>
  <c r="F7" i="2"/>
  <c r="H7" i="2" s="1"/>
  <c r="L7" i="2" s="1"/>
  <c r="F6" i="2"/>
  <c r="G6" i="2" s="1"/>
  <c r="K6" i="2" s="1"/>
  <c r="F5" i="2"/>
  <c r="G5" i="2" s="1"/>
  <c r="K5" i="2" s="1"/>
  <c r="D6" i="2"/>
  <c r="D7" i="2"/>
  <c r="D8" i="2"/>
  <c r="D9" i="2"/>
  <c r="D10" i="2"/>
  <c r="D5" i="2"/>
  <c r="I5" i="2" s="1"/>
  <c r="H6" i="2" l="1"/>
  <c r="L6" i="2" s="1"/>
  <c r="O6" i="2" s="1"/>
  <c r="H9" i="2"/>
  <c r="L9" i="2" s="1"/>
  <c r="O9" i="2" s="1"/>
  <c r="G7" i="2"/>
  <c r="K7" i="2" s="1"/>
  <c r="O7" i="2" s="1"/>
  <c r="G10" i="2"/>
  <c r="K10" i="2" s="1"/>
  <c r="O10" i="2" s="1"/>
  <c r="H8" i="2"/>
  <c r="L8" i="2" s="1"/>
  <c r="M5" i="2"/>
  <c r="N5" i="2"/>
  <c r="N11" i="2" s="1"/>
  <c r="H5" i="2"/>
  <c r="L5" i="2" s="1"/>
  <c r="D18" i="4"/>
  <c r="D17" i="4"/>
  <c r="D16" i="4"/>
  <c r="D14" i="4"/>
  <c r="D19" i="4" s="1"/>
  <c r="H10" i="4"/>
  <c r="D15" i="4" s="1"/>
  <c r="G10" i="4"/>
  <c r="F10" i="4"/>
  <c r="E10" i="4"/>
  <c r="D10" i="4"/>
  <c r="C10" i="4"/>
  <c r="J11" i="2"/>
  <c r="I11" i="2"/>
  <c r="J4" i="1"/>
  <c r="I4" i="1"/>
  <c r="O5" i="2" l="1"/>
  <c r="L11" i="2"/>
  <c r="K11" i="2"/>
  <c r="O8" i="2"/>
  <c r="M11" i="2"/>
  <c r="O11" i="2" l="1"/>
</calcChain>
</file>

<file path=xl/sharedStrings.xml><?xml version="1.0" encoding="utf-8"?>
<sst xmlns="http://schemas.openxmlformats.org/spreadsheetml/2006/main" count="218" uniqueCount="181">
  <si>
    <t>AGGREGATE PLANNING — SEARCH DECISION RULE (SDR) METHOD</t>
  </si>
  <si>
    <t>GIVEN DATA: Monthly Demand Forecast</t>
  </si>
  <si>
    <t>Month</t>
  </si>
  <si>
    <t>Jan (t=1)</t>
  </si>
  <si>
    <t>Feb (t=2)</t>
  </si>
  <si>
    <t>Mar (t=3)</t>
  </si>
  <si>
    <t>Apr (t=4)</t>
  </si>
  <si>
    <t>May (t=5)</t>
  </si>
  <si>
    <t>Jun (t=6)</t>
  </si>
  <si>
    <t>Total</t>
  </si>
  <si>
    <t>Average</t>
  </si>
  <si>
    <t>Demand (Units)</t>
  </si>
  <si>
    <t>COST &amp; OPERATIONAL PARAMETERS (Named Ranges — used in all formula sheets)</t>
  </si>
  <si>
    <t>PARAMETER</t>
  </si>
  <si>
    <t>SYMBOL</t>
  </si>
  <si>
    <t>VALUE</t>
  </si>
  <si>
    <t>UNIT</t>
  </si>
  <si>
    <t>NAMED RANGE</t>
  </si>
  <si>
    <t>Production rate/worker</t>
  </si>
  <si>
    <t>p</t>
  </si>
  <si>
    <t>units/worker/month</t>
  </si>
  <si>
    <t>prod_rate</t>
  </si>
  <si>
    <t>Initial workforce</t>
  </si>
  <si>
    <t>W0</t>
  </si>
  <si>
    <t>workers</t>
  </si>
  <si>
    <t>Initial inventory</t>
  </si>
  <si>
    <t>I0</t>
  </si>
  <si>
    <t>units</t>
  </si>
  <si>
    <t>Hiring cost</t>
  </si>
  <si>
    <t>Ch_hire</t>
  </si>
  <si>
    <t>₹/worker hired</t>
  </si>
  <si>
    <t>c_hire</t>
  </si>
  <si>
    <t>Firing cost</t>
  </si>
  <si>
    <t>Ch_fire</t>
  </si>
  <si>
    <t>₹/worker fired</t>
  </si>
  <si>
    <t>c_fire</t>
  </si>
  <si>
    <t>Holding cost</t>
  </si>
  <si>
    <t>Ch_hold</t>
  </si>
  <si>
    <t>₹/unit/month</t>
  </si>
  <si>
    <t>c_hold</t>
  </si>
  <si>
    <t>Backorder cost</t>
  </si>
  <si>
    <t>Cb</t>
  </si>
  <si>
    <t>c_back</t>
  </si>
  <si>
    <t>Labour cost/worker</t>
  </si>
  <si>
    <t>Cw</t>
  </si>
  <si>
    <t>₹/worker/month</t>
  </si>
  <si>
    <t>c_labour</t>
  </si>
  <si>
    <t>⚠  Named ranges (prod_rate, W0, I0, c_hire, c_fire, c_hold, c_back, c_labour) defined in Formulas Manager — referenced in Sheet 2.</t>
  </si>
  <si>
    <t>SDR OPTIMAL SOLUTION — STEP-BY-STEP CALCULATION</t>
  </si>
  <si>
    <t>Optimal Workforce: W* = 55 workers (Level Strategy) | Total Minimum Cost: ₹ 40,33,500</t>
  </si>
  <si>
    <t>Workforce
Wt</t>
  </si>
  <si>
    <t>Production
Pt = 30×Wt</t>
  </si>
  <si>
    <t>Demand
Dt</t>
  </si>
  <si>
    <t>ΔW
(Wt−Wt₋₁)</t>
  </si>
  <si>
    <t>Hire
Ht</t>
  </si>
  <si>
    <t>Fire
Ft</t>
  </si>
  <si>
    <t>Inventory
It</t>
  </si>
  <si>
    <t>Labour Cost
₹</t>
  </si>
  <si>
    <t>Hire Cost
₹</t>
  </si>
  <si>
    <t>Fire Cost
₹</t>
  </si>
  <si>
    <t>Hold Cost
₹</t>
  </si>
  <si>
    <t>Back Cost
₹</t>
  </si>
  <si>
    <t>Monthly TC
₹</t>
  </si>
  <si>
    <t>January</t>
  </si>
  <si>
    <t>February</t>
  </si>
  <si>
    <t>March</t>
  </si>
  <si>
    <t>April</t>
  </si>
  <si>
    <t>May</t>
  </si>
  <si>
    <t>June</t>
  </si>
  <si>
    <t>GRAND TOTAL</t>
  </si>
  <si>
    <t>KEY FORMULAS USED IN THIS SHEET</t>
  </si>
  <si>
    <t>Cost Component</t>
  </si>
  <si>
    <t>Formula</t>
  </si>
  <si>
    <t>Explanation / Example</t>
  </si>
  <si>
    <t>Production (Pt)</t>
  </si>
  <si>
    <t>Pt = Wt x 30</t>
  </si>
  <si>
    <t>Excel: =C5*30  e.g. 55x30 = 1,650 units</t>
  </si>
  <si>
    <t>DeltaW (change)</t>
  </si>
  <si>
    <t>DW = Wt - Wt-1</t>
  </si>
  <si>
    <t>Jan: =C5-50 (W0=50); Feb onwards: =C6-C5</t>
  </si>
  <si>
    <t>Hire (Ht)</t>
  </si>
  <si>
    <t>Ht = MAX(0, DW)</t>
  </si>
  <si>
    <t>Only positive change = new hires</t>
  </si>
  <si>
    <t>Fire (Ft)</t>
  </si>
  <si>
    <t>Ft = MAX(0, -DW)</t>
  </si>
  <si>
    <t>Only negative change = layoffs</t>
  </si>
  <si>
    <t>Inventory (It)</t>
  </si>
  <si>
    <t>It = It-1 + Pt - Dt</t>
  </si>
  <si>
    <t>Jan: =200+D5-B5; Feb: =H5+D6-B6 ...</t>
  </si>
  <si>
    <t>Holding Cost</t>
  </si>
  <si>
    <t>MAX(0, It) x Ch_hold</t>
  </si>
  <si>
    <t>Cost only when inventory is positive</t>
  </si>
  <si>
    <t>Backorder Cost</t>
  </si>
  <si>
    <t>MAX(0, -It) x Cb</t>
  </si>
  <si>
    <t>Cost only when inventory is negative (May)</t>
  </si>
  <si>
    <t>Monthly TC</t>
  </si>
  <si>
    <t>Labour+Hire+Fire+Hold+Back</t>
  </si>
  <si>
    <t>Sum of all 5 cost components per month</t>
  </si>
  <si>
    <t>SDR TRIAL SOLUTIONS — ALL TRIALS COMPARED</t>
  </si>
  <si>
    <t>SDR tests each candidate solution and accepts only those that reduce total cost. Green = Accepted | Red = Rejected</t>
  </si>
  <si>
    <t>Trial</t>
  </si>
  <si>
    <t>W₁
(Jan)</t>
  </si>
  <si>
    <t>W₂
(Feb)</t>
  </si>
  <si>
    <t>W₃
(Mar)</t>
  </si>
  <si>
    <t>W₄
(Apr)</t>
  </si>
  <si>
    <t>W₅
(May)</t>
  </si>
  <si>
    <t>W₆
(Jun)</t>
  </si>
  <si>
    <t>Labour
Cost ₹</t>
  </si>
  <si>
    <t>TOTAL TC
₹</t>
  </si>
  <si>
    <t>Strategy</t>
  </si>
  <si>
    <t>Decision</t>
  </si>
  <si>
    <t>T1</t>
  </si>
  <si>
    <t>Level W=57 (baseline)</t>
  </si>
  <si>
    <t>BASELINE</t>
  </si>
  <si>
    <t>T2</t>
  </si>
  <si>
    <t>Level W=55</t>
  </si>
  <si>
    <t>✓ ACCEPT</t>
  </si>
  <si>
    <t>T3</t>
  </si>
  <si>
    <t>Chase demand (modified)</t>
  </si>
  <si>
    <t>✗ REJECT</t>
  </si>
  <si>
    <t>T4</t>
  </si>
  <si>
    <t>Level W=54</t>
  </si>
  <si>
    <t>T5</t>
  </si>
  <si>
    <t>Moderate flex W55-60</t>
  </si>
  <si>
    <t>T6</t>
  </si>
  <si>
    <t>Full chase strategy</t>
  </si>
  <si>
    <t>T7</t>
  </si>
  <si>
    <t>Perturb period 2 +1</t>
  </si>
  <si>
    <t>T8</t>
  </si>
  <si>
    <t>Perturb period 1 +1</t>
  </si>
  <si>
    <t>T9</t>
  </si>
  <si>
    <t>Perturb period 3 +1</t>
  </si>
  <si>
    <t>T10</t>
  </si>
  <si>
    <t>SDR CONVERGED — OPTIMAL</t>
  </si>
  <si>
    <t>★ OPTIMAL</t>
  </si>
  <si>
    <t>SDR CONVERGENCE RULE: Algorithm stops when no single-variable perturbation (±1 worker in any period) reduces Total Cost below ₹40,33,500</t>
  </si>
  <si>
    <t>OPTIMAL PLAN — COMPLETE COST BREAKDOWN</t>
  </si>
  <si>
    <t>Labour Cost ₹</t>
  </si>
  <si>
    <t>Hire Cost ₹</t>
  </si>
  <si>
    <t>Fire Cost ₹</t>
  </si>
  <si>
    <t>Holding Cost ₹</t>
  </si>
  <si>
    <t>Backorder Cost ₹</t>
  </si>
  <si>
    <t>Monthly TC ₹</t>
  </si>
  <si>
    <t>COST COMPONENT ANALYSIS</t>
  </si>
  <si>
    <t>Amount (₹)</t>
  </si>
  <si>
    <t>% of Total TC</t>
  </si>
  <si>
    <t>Remarks</t>
  </si>
  <si>
    <t>Regular Labour</t>
  </si>
  <si>
    <t>Dominant cost — 98.18%</t>
  </si>
  <si>
    <t>Inventory carrying in Jan–Apr</t>
  </si>
  <si>
    <t>Hiring Cost</t>
  </si>
  <si>
    <t>Only 5 workers hired in January</t>
  </si>
  <si>
    <t>50 units short in May</t>
  </si>
  <si>
    <t>Firing Cost</t>
  </si>
  <si>
    <t>Zero firings — level strategy</t>
  </si>
  <si>
    <t>TOTAL</t>
  </si>
  <si>
    <t>INVENTORY BALANCE TRACE — OPTIMAL PLAN (W=55)</t>
  </si>
  <si>
    <t>Iₜ₋₁
(Prev Inv)</t>
  </si>
  <si>
    <t>Production
Pt = 1,650</t>
  </si>
  <si>
    <t>Inventory
It = Iₜ₋₁+Pt−Dt</t>
  </si>
  <si>
    <t>Status</t>
  </si>
  <si>
    <t>Holding ₹ /
Backorder ₹</t>
  </si>
  <si>
    <t>₹13,000 holding</t>
  </si>
  <si>
    <t>₹16,000 holding</t>
  </si>
  <si>
    <t>₹4,000 holding</t>
  </si>
  <si>
    <t>BACKORDER ⚠</t>
  </si>
  <si>
    <t>₹2,500 backorder</t>
  </si>
  <si>
    <t>₹0</t>
  </si>
  <si>
    <t>Formula: It = Iₜ₋₁ + Pt − Dt  |  Holding cost = MAX(0, It) × ₹20  |  Backorder cost = MAX(0, −It) × ₹50  |  I₀ = 200 units (given)</t>
  </si>
  <si>
    <t xml:space="preserve">VERIFIED MATCH </t>
  </si>
  <si>
    <t xml:space="preserve">Holding </t>
  </si>
  <si>
    <t xml:space="preserve">Zero </t>
  </si>
  <si>
    <t>VERIFICATION: Manual TC = ₹39,60,000 + ₹25,000 + ₹0 + ₹46,000 + ₹2,500 = ₹40,33,500  |  Excel SUM(N5:N10) = ₹40,33,500  |  MATCH CONFIRMED</t>
  </si>
  <si>
    <t>Production Rate</t>
  </si>
  <si>
    <t>Back Order Cost</t>
  </si>
  <si>
    <t>Labour Cost</t>
  </si>
  <si>
    <t>Initial Inventory</t>
  </si>
  <si>
    <t>Back
Cost ₹</t>
  </si>
  <si>
    <t>Hold Cost</t>
  </si>
  <si>
    <t>Hire Cost</t>
  </si>
  <si>
    <t>Fire
Cost 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</si>
</sst>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i/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595959"/>
      <name val="Calibri"/>
      <family val="2"/>
    </font>
    <font>
      <sz val="10"/>
      <color rgb="FF000000"/>
      <name val="Calibri"/>
      <family val="2"/>
    </font>
    <font>
      <i/>
      <sz val="9"/>
      <color rgb="FFE65100"/>
      <name val="Calibri"/>
      <family val="2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1D6F42"/>
      <name val="Calibri"/>
      <family val="2"/>
    </font>
    <font>
      <sz val="10"/>
      <color rgb="FF0D47A1"/>
      <name val="Courier New"/>
      <family val="3"/>
    </font>
    <font>
      <i/>
      <sz val="9"/>
      <color rgb="FF595959"/>
      <name val="Calibri"/>
      <family val="2"/>
    </font>
    <font>
      <sz val="10"/>
      <color rgb="FF1B3A6B"/>
      <name val="Calibri"/>
      <family val="2"/>
    </font>
    <font>
      <b/>
      <sz val="10"/>
      <color rgb="FF1B3A6B"/>
      <name val="Calibri"/>
      <family val="2"/>
    </font>
    <font>
      <sz val="10"/>
      <color rgb="FFC00000"/>
      <name val="Calibri"/>
      <family val="2"/>
    </font>
    <font>
      <b/>
      <sz val="10"/>
      <color rgb="FFC00000"/>
      <name val="Calibri"/>
      <family val="2"/>
    </font>
    <font>
      <b/>
      <sz val="14"/>
      <color rgb="FFFFFFFF"/>
      <name val="Calibri"/>
      <family val="2"/>
    </font>
    <font>
      <i/>
      <sz val="9"/>
      <color rgb="FF0B6E5D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0D47A1"/>
      </patternFill>
    </fill>
    <fill>
      <patternFill patternType="solid">
        <fgColor rgb="FF2E5D9E"/>
        <bgColor rgb="FF0D47A1"/>
      </patternFill>
    </fill>
    <fill>
      <patternFill patternType="solid">
        <fgColor rgb="FF0B6E5D"/>
        <bgColor rgb="FF1D6F42"/>
      </patternFill>
    </fill>
    <fill>
      <patternFill patternType="solid">
        <fgColor rgb="FFD9EAD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EAD3"/>
      </patternFill>
    </fill>
    <fill>
      <patternFill patternType="solid">
        <fgColor rgb="FFFBE9E7"/>
        <bgColor rgb="FFFFE0E0"/>
      </patternFill>
    </fill>
    <fill>
      <patternFill patternType="solid">
        <fgColor rgb="FFFFE0E0"/>
        <bgColor rgb="FFFBE9E7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BE9E7"/>
      </patternFill>
    </fill>
    <fill>
      <patternFill patternType="solid">
        <fgColor rgb="FFF2F2F2"/>
        <bgColor rgb="FFFBE9E7"/>
      </patternFill>
    </fill>
    <fill>
      <patternFill patternType="solid">
        <fgColor rgb="FFB8860B"/>
        <bgColor rgb="FFFF99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hair">
        <color rgb="FFCCCCCC"/>
      </top>
      <bottom style="hair">
        <color rgb="FFCCCCCC"/>
      </bottom>
      <diagonal/>
    </border>
    <border>
      <left style="medium">
        <color rgb="FF1D6F42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hair">
        <color rgb="FFCCCCCC"/>
      </top>
      <bottom style="hair">
        <color rgb="FFCCCCCC"/>
      </bottom>
      <diagonal/>
    </border>
    <border>
      <left style="medium">
        <color rgb="FF1B3A6B"/>
      </left>
      <right/>
      <top style="thin">
        <color rgb="FFAAAAAA"/>
      </top>
      <bottom style="thin">
        <color rgb="FFAAAAAA"/>
      </bottom>
      <diagonal/>
    </border>
    <border>
      <left style="medium">
        <color rgb="FF0B6E5D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/>
    </xf>
    <xf numFmtId="3" fontId="8" fillId="5" borderId="4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center" vertical="center"/>
    </xf>
    <xf numFmtId="164" fontId="13" fillId="5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left" vertical="center"/>
    </xf>
    <xf numFmtId="3" fontId="8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4" fontId="13" fillId="6" borderId="4" xfId="0" applyNumberFormat="1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left" vertical="center"/>
    </xf>
    <xf numFmtId="3" fontId="8" fillId="9" borderId="4" xfId="0" applyNumberFormat="1" applyFont="1" applyFill="1" applyBorder="1" applyAlignment="1">
      <alignment horizontal="center" vertical="center"/>
    </xf>
    <xf numFmtId="164" fontId="8" fillId="9" borderId="4" xfId="0" applyNumberFormat="1" applyFont="1" applyFill="1" applyBorder="1" applyAlignment="1">
      <alignment horizontal="center" vertical="center"/>
    </xf>
    <xf numFmtId="164" fontId="13" fillId="9" borderId="4" xfId="0" applyNumberFormat="1" applyFont="1" applyFill="1" applyBorder="1" applyAlignment="1">
      <alignment horizontal="center" vertical="center"/>
    </xf>
    <xf numFmtId="0" fontId="0" fillId="7" borderId="3" xfId="0" applyFill="1" applyBorder="1"/>
    <xf numFmtId="164" fontId="5" fillId="7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164" fontId="8" fillId="12" borderId="4" xfId="0" applyNumberFormat="1" applyFont="1" applyFill="1" applyBorder="1" applyAlignment="1">
      <alignment horizontal="center" vertical="center"/>
    </xf>
    <xf numFmtId="164" fontId="13" fillId="12" borderId="4" xfId="0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center" vertical="center"/>
    </xf>
    <xf numFmtId="164" fontId="14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9" fillId="9" borderId="4" xfId="0" applyFont="1" applyFill="1" applyBorder="1" applyAlignment="1">
      <alignment horizontal="left" vertical="center"/>
    </xf>
    <xf numFmtId="0" fontId="20" fillId="9" borderId="4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/>
    </xf>
    <xf numFmtId="164" fontId="8" fillId="11" borderId="4" xfId="0" applyNumberFormat="1" applyFont="1" applyFill="1" applyBorder="1" applyAlignment="1">
      <alignment horizontal="center" vertical="center"/>
    </xf>
    <xf numFmtId="10" fontId="8" fillId="11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0" fontId="8" fillId="6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center" vertical="center"/>
    </xf>
    <xf numFmtId="10" fontId="4" fillId="2" borderId="4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3" fontId="13" fillId="5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3" fontId="13" fillId="6" borderId="4" xfId="0" applyNumberFormat="1" applyFont="1" applyFill="1" applyBorder="1" applyAlignment="1">
      <alignment horizontal="center" vertical="center"/>
    </xf>
    <xf numFmtId="3" fontId="13" fillId="9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left" vertical="center"/>
    </xf>
    <xf numFmtId="3" fontId="8" fillId="10" borderId="4" xfId="0" applyNumberFormat="1" applyFont="1" applyFill="1" applyBorder="1" applyAlignment="1">
      <alignment horizontal="center" vertical="center"/>
    </xf>
    <xf numFmtId="3" fontId="13" fillId="10" borderId="4" xfId="0" applyNumberFormat="1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Border="1"/>
    <xf numFmtId="0" fontId="9" fillId="8" borderId="2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left" vertical="center"/>
    </xf>
    <xf numFmtId="0" fontId="15" fillId="11" borderId="7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left" vertical="center" wrapText="1"/>
    </xf>
    <xf numFmtId="0" fontId="3" fillId="13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left" vertical="center"/>
    </xf>
    <xf numFmtId="0" fontId="0" fillId="14" borderId="10" xfId="0" applyFont="1" applyFill="1" applyBorder="1"/>
    <xf numFmtId="0" fontId="0" fillId="14" borderId="10" xfId="0" applyFill="1" applyBorder="1"/>
    <xf numFmtId="0" fontId="0" fillId="14" borderId="11" xfId="0" applyFont="1" applyFill="1" applyBorder="1"/>
    <xf numFmtId="0" fontId="0" fillId="15" borderId="0" xfId="0" applyFont="1" applyFill="1" applyBorder="1"/>
    <xf numFmtId="0" fontId="0" fillId="14" borderId="11" xfId="0" applyFill="1" applyBorder="1"/>
    <xf numFmtId="164" fontId="0" fillId="1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B6E5D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2E5D9E"/>
      <rgbColor rgb="FFD6E4F0"/>
      <rgbColor rgb="FF000080"/>
      <rgbColor rgb="FFFF00FF"/>
      <rgbColor rgb="FFFFFF00"/>
      <rgbColor rgb="FF00FFFF"/>
      <rgbColor rgb="FF800080"/>
      <rgbColor rgb="FF800000"/>
      <rgbColor rgb="FF1D6F42"/>
      <rgbColor rgb="FF0000FF"/>
      <rgbColor rgb="FF00CCFF"/>
      <rgbColor rgb="FFF2F2F2"/>
      <rgbColor rgb="FFD9EAD3"/>
      <rgbColor rgb="FFFBE9E7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E65100"/>
      <rgbColor rgb="FF595959"/>
      <rgbColor rgb="FFAAAAAA"/>
      <rgbColor rgb="FF1B3A6B"/>
      <rgbColor rgb="FF339966"/>
      <rgbColor rgb="FF003300"/>
      <rgbColor rgb="FF333300"/>
      <rgbColor rgb="FF993300"/>
      <rgbColor rgb="FF993366"/>
      <rgbColor rgb="FF0D47A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showGridLines="0" zoomScaleNormal="100" workbookViewId="0">
      <selection activeCell="J4" sqref="J4"/>
    </sheetView>
  </sheetViews>
  <sheetFormatPr defaultColWidth="8.6328125" defaultRowHeight="14.5" x14ac:dyDescent="0.35"/>
  <cols>
    <col min="1" max="1" width="2" customWidth="1"/>
    <col min="2" max="10" width="18" customWidth="1"/>
  </cols>
  <sheetData>
    <row r="1" spans="2:10" ht="31.5" customHeight="1" x14ac:dyDescent="0.35">
      <c r="B1" s="64" t="s">
        <v>0</v>
      </c>
      <c r="C1" s="64"/>
      <c r="D1" s="64"/>
      <c r="E1" s="64"/>
      <c r="F1" s="64"/>
      <c r="G1" s="64"/>
      <c r="H1" s="64"/>
      <c r="I1" s="64"/>
      <c r="J1" s="64"/>
    </row>
    <row r="2" spans="2:10" ht="15.5" x14ac:dyDescent="0.35">
      <c r="B2" s="65" t="s">
        <v>1</v>
      </c>
      <c r="C2" s="65"/>
      <c r="D2" s="65"/>
      <c r="E2" s="65"/>
      <c r="F2" s="65"/>
      <c r="G2" s="65"/>
      <c r="H2" s="65"/>
      <c r="I2" s="65"/>
      <c r="J2" s="65"/>
    </row>
    <row r="3" spans="2:10" ht="24" customHeight="1" x14ac:dyDescent="0.3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2:10" ht="21.75" customHeight="1" x14ac:dyDescent="0.35">
      <c r="B4" s="2" t="s">
        <v>11</v>
      </c>
      <c r="C4" s="3">
        <v>1200</v>
      </c>
      <c r="D4" s="3">
        <v>1500</v>
      </c>
      <c r="E4" s="3">
        <v>1800</v>
      </c>
      <c r="F4" s="3">
        <v>2100</v>
      </c>
      <c r="G4" s="3">
        <v>1900</v>
      </c>
      <c r="H4" s="3">
        <v>1600</v>
      </c>
      <c r="I4" s="4">
        <f>SUM(C4:H4)</f>
        <v>10100</v>
      </c>
      <c r="J4" s="4">
        <f>AVERAGE(C4:H4)</f>
        <v>1683.3333333333333</v>
      </c>
    </row>
    <row r="5" spans="2:10" ht="21.75" customHeight="1" x14ac:dyDescent="0.35"/>
    <row r="6" spans="2:10" ht="15.5" x14ac:dyDescent="0.35">
      <c r="B6" s="66" t="s">
        <v>12</v>
      </c>
      <c r="C6" s="66"/>
      <c r="D6" s="66"/>
      <c r="E6" s="66"/>
      <c r="F6" s="66"/>
      <c r="G6" s="66"/>
      <c r="H6" s="66"/>
      <c r="I6" s="66"/>
      <c r="J6" s="66"/>
    </row>
    <row r="7" spans="2:10" ht="24" customHeight="1" x14ac:dyDescent="0.35">
      <c r="B7" s="5" t="s">
        <v>13</v>
      </c>
      <c r="C7" s="6" t="s">
        <v>14</v>
      </c>
      <c r="D7" s="6" t="s">
        <v>15</v>
      </c>
      <c r="E7" s="6" t="s">
        <v>16</v>
      </c>
      <c r="F7" s="6" t="s">
        <v>17</v>
      </c>
    </row>
    <row r="8" spans="2:10" ht="19.5" customHeight="1" x14ac:dyDescent="0.35">
      <c r="B8" s="7" t="s">
        <v>18</v>
      </c>
      <c r="C8" s="8" t="s">
        <v>19</v>
      </c>
      <c r="D8" s="9">
        <v>30</v>
      </c>
      <c r="E8" s="8" t="s">
        <v>20</v>
      </c>
      <c r="F8" s="8" t="s">
        <v>21</v>
      </c>
      <c r="G8" s="67"/>
      <c r="H8" s="67"/>
      <c r="I8" s="67"/>
      <c r="J8" s="67"/>
    </row>
    <row r="9" spans="2:10" ht="19.5" customHeight="1" x14ac:dyDescent="0.35">
      <c r="B9" s="10" t="s">
        <v>22</v>
      </c>
      <c r="C9" s="11" t="s">
        <v>23</v>
      </c>
      <c r="D9" s="12">
        <v>50</v>
      </c>
      <c r="E9" s="11" t="s">
        <v>24</v>
      </c>
      <c r="F9" s="11" t="s">
        <v>23</v>
      </c>
      <c r="G9" s="67"/>
      <c r="H9" s="67"/>
      <c r="I9" s="67"/>
      <c r="J9" s="67"/>
    </row>
    <row r="10" spans="2:10" ht="19.5" customHeight="1" x14ac:dyDescent="0.35">
      <c r="B10" s="7" t="s">
        <v>25</v>
      </c>
      <c r="C10" s="8" t="s">
        <v>26</v>
      </c>
      <c r="D10" s="9">
        <v>200</v>
      </c>
      <c r="E10" s="8" t="s">
        <v>27</v>
      </c>
      <c r="F10" s="8" t="s">
        <v>26</v>
      </c>
      <c r="G10" s="67"/>
      <c r="H10" s="67"/>
      <c r="I10" s="67"/>
      <c r="J10" s="67"/>
    </row>
    <row r="11" spans="2:10" ht="19.5" customHeight="1" x14ac:dyDescent="0.35">
      <c r="B11" s="10" t="s">
        <v>28</v>
      </c>
      <c r="C11" s="11" t="s">
        <v>29</v>
      </c>
      <c r="D11" s="12">
        <v>5000</v>
      </c>
      <c r="E11" s="11" t="s">
        <v>30</v>
      </c>
      <c r="F11" s="11" t="s">
        <v>31</v>
      </c>
      <c r="G11" s="67"/>
      <c r="H11" s="67"/>
      <c r="I11" s="67"/>
      <c r="J11" s="67"/>
    </row>
    <row r="12" spans="2:10" ht="19.5" customHeight="1" x14ac:dyDescent="0.35">
      <c r="B12" s="7" t="s">
        <v>32</v>
      </c>
      <c r="C12" s="8" t="s">
        <v>33</v>
      </c>
      <c r="D12" s="9">
        <v>8000</v>
      </c>
      <c r="E12" s="8" t="s">
        <v>34</v>
      </c>
      <c r="F12" s="8" t="s">
        <v>35</v>
      </c>
      <c r="G12" s="67"/>
      <c r="H12" s="67"/>
      <c r="I12" s="67"/>
      <c r="J12" s="67"/>
    </row>
    <row r="13" spans="2:10" ht="19.5" customHeight="1" x14ac:dyDescent="0.35">
      <c r="B13" s="10" t="s">
        <v>36</v>
      </c>
      <c r="C13" s="11" t="s">
        <v>37</v>
      </c>
      <c r="D13" s="12">
        <v>20</v>
      </c>
      <c r="E13" s="11" t="s">
        <v>38</v>
      </c>
      <c r="F13" s="11" t="s">
        <v>39</v>
      </c>
      <c r="G13" s="67"/>
      <c r="H13" s="67"/>
      <c r="I13" s="67"/>
      <c r="J13" s="67"/>
    </row>
    <row r="14" spans="2:10" ht="19.5" customHeight="1" x14ac:dyDescent="0.35">
      <c r="B14" s="7" t="s">
        <v>40</v>
      </c>
      <c r="C14" s="8" t="s">
        <v>41</v>
      </c>
      <c r="D14" s="9">
        <v>50</v>
      </c>
      <c r="E14" s="8" t="s">
        <v>38</v>
      </c>
      <c r="F14" s="8" t="s">
        <v>42</v>
      </c>
      <c r="G14" s="67"/>
      <c r="H14" s="67"/>
      <c r="I14" s="67"/>
      <c r="J14" s="67"/>
    </row>
    <row r="15" spans="2:10" ht="19.5" customHeight="1" x14ac:dyDescent="0.35">
      <c r="B15" s="10" t="s">
        <v>43</v>
      </c>
      <c r="C15" s="11" t="s">
        <v>44</v>
      </c>
      <c r="D15" s="12">
        <v>12000</v>
      </c>
      <c r="E15" s="11" t="s">
        <v>45</v>
      </c>
      <c r="F15" s="11" t="s">
        <v>46</v>
      </c>
      <c r="G15" s="67"/>
      <c r="H15" s="67"/>
      <c r="I15" s="67"/>
      <c r="J15" s="67"/>
    </row>
    <row r="16" spans="2:10" ht="19.5" customHeight="1" x14ac:dyDescent="0.35">
      <c r="B16" s="68" t="s">
        <v>47</v>
      </c>
      <c r="C16" s="68"/>
      <c r="D16" s="68"/>
      <c r="E16" s="68"/>
      <c r="F16" s="68"/>
      <c r="G16" s="68"/>
      <c r="H16" s="68"/>
      <c r="I16" s="68"/>
      <c r="J16" s="68"/>
    </row>
    <row r="17" ht="24" customHeight="1" x14ac:dyDescent="0.35"/>
  </sheetData>
  <mergeCells count="12">
    <mergeCell ref="G15:J15"/>
    <mergeCell ref="B16:J16"/>
    <mergeCell ref="G9:J9"/>
    <mergeCell ref="G10:J10"/>
    <mergeCell ref="G11:J11"/>
    <mergeCell ref="G12:J12"/>
    <mergeCell ref="G13:J13"/>
    <mergeCell ref="B1:J1"/>
    <mergeCell ref="B2:J2"/>
    <mergeCell ref="B6:J6"/>
    <mergeCell ref="G8:J8"/>
    <mergeCell ref="G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"/>
  <sheetViews>
    <sheetView showGridLines="0" topLeftCell="A4" zoomScale="84" zoomScaleNormal="100" workbookViewId="0">
      <selection activeCell="C8" sqref="C8"/>
    </sheetView>
  </sheetViews>
  <sheetFormatPr defaultColWidth="8.6328125" defaultRowHeight="14.5" x14ac:dyDescent="0.35"/>
  <cols>
    <col min="1" max="1" width="3" customWidth="1"/>
    <col min="2" max="2" width="14" customWidth="1"/>
    <col min="3" max="5" width="10" customWidth="1"/>
    <col min="6" max="8" width="8" customWidth="1"/>
    <col min="9" max="13" width="12" customWidth="1"/>
    <col min="14" max="14" width="14" customWidth="1"/>
    <col min="15" max="15" width="10.7265625" bestFit="1" customWidth="1"/>
    <col min="17" max="17" width="15.08984375" customWidth="1"/>
  </cols>
  <sheetData>
    <row r="1" spans="2:18" ht="31.5" customHeight="1" x14ac:dyDescent="0.35">
      <c r="B1" s="69" t="s">
        <v>48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2:18" ht="21.75" customHeight="1" x14ac:dyDescent="0.35">
      <c r="B2" s="70" t="s">
        <v>49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4" spans="2:18" ht="36" customHeight="1" x14ac:dyDescent="0.35">
      <c r="B4" s="13" t="s">
        <v>2</v>
      </c>
      <c r="C4" s="13" t="s">
        <v>50</v>
      </c>
      <c r="D4" s="13" t="s">
        <v>51</v>
      </c>
      <c r="E4" s="13" t="s">
        <v>52</v>
      </c>
      <c r="F4" s="13" t="s">
        <v>53</v>
      </c>
      <c r="G4" s="13" t="s">
        <v>54</v>
      </c>
      <c r="H4" s="13" t="s">
        <v>55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  <c r="N4" s="13" t="s">
        <v>61</v>
      </c>
      <c r="O4" s="13" t="s">
        <v>62</v>
      </c>
      <c r="Q4" s="90"/>
      <c r="R4" s="63"/>
    </row>
    <row r="5" spans="2:18" ht="21.75" customHeight="1" x14ac:dyDescent="0.35">
      <c r="B5" s="14" t="s">
        <v>63</v>
      </c>
      <c r="C5" s="15">
        <v>55</v>
      </c>
      <c r="D5" s="15">
        <f>C5*$R$5</f>
        <v>1650</v>
      </c>
      <c r="E5" s="15">
        <v>1200</v>
      </c>
      <c r="F5" s="15">
        <f>C5-$R$11</f>
        <v>5</v>
      </c>
      <c r="G5" s="15">
        <f>MAX(0,F5)</f>
        <v>5</v>
      </c>
      <c r="H5" s="15">
        <f>MAX(0,-F5)</f>
        <v>0</v>
      </c>
      <c r="I5" s="15">
        <f>$R$12+D5-E5</f>
        <v>650</v>
      </c>
      <c r="J5" s="16">
        <f>C5*$R$10</f>
        <v>660000</v>
      </c>
      <c r="K5" s="16">
        <f>G5*$R$8</f>
        <v>25000</v>
      </c>
      <c r="L5" s="16">
        <f>H5*$R$9</f>
        <v>0</v>
      </c>
      <c r="M5" s="16">
        <f>MAX(0,I5)*$R$6</f>
        <v>13000</v>
      </c>
      <c r="N5" s="16">
        <f>MAX(0,-I5)*$R$7</f>
        <v>0</v>
      </c>
      <c r="O5" s="17">
        <f>J5+K5+L5+M5+N5</f>
        <v>698000</v>
      </c>
      <c r="Q5" s="89" t="s">
        <v>173</v>
      </c>
      <c r="R5" s="91">
        <v>30</v>
      </c>
    </row>
    <row r="6" spans="2:18" ht="21.75" customHeight="1" x14ac:dyDescent="0.35">
      <c r="B6" s="18" t="s">
        <v>64</v>
      </c>
      <c r="C6" s="15">
        <v>55</v>
      </c>
      <c r="D6" s="15">
        <f t="shared" ref="D6:D10" si="0">C6*$R$5</f>
        <v>1650</v>
      </c>
      <c r="E6" s="19">
        <v>1500</v>
      </c>
      <c r="F6" s="15">
        <f>C6-C5</f>
        <v>0</v>
      </c>
      <c r="G6" s="15">
        <f t="shared" ref="G6:G10" si="1">MAX(0,F6)</f>
        <v>0</v>
      </c>
      <c r="H6" s="15">
        <f t="shared" ref="H6:H10" si="2">MAX(0,-F6)</f>
        <v>0</v>
      </c>
      <c r="I6" s="19">
        <v>800</v>
      </c>
      <c r="J6" s="16">
        <f t="shared" ref="J6:J10" si="3">C6*$R$10</f>
        <v>660000</v>
      </c>
      <c r="K6" s="16">
        <f t="shared" ref="K6:K10" si="4">G6*$R$8</f>
        <v>0</v>
      </c>
      <c r="L6" s="16">
        <f t="shared" ref="L6:L10" si="5">H6*$R$9</f>
        <v>0</v>
      </c>
      <c r="M6" s="16">
        <f t="shared" ref="M6:M10" si="6">MAX(0,I6)*$R$6</f>
        <v>16000</v>
      </c>
      <c r="N6" s="16">
        <f t="shared" ref="N6:N10" si="7">MAX(0,-I6)*$R$7</f>
        <v>0</v>
      </c>
      <c r="O6" s="17">
        <f t="shared" ref="O6:O10" si="8">J6+K6+L6+M6+N6</f>
        <v>676000</v>
      </c>
      <c r="Q6" s="87" t="s">
        <v>89</v>
      </c>
      <c r="R6" s="88">
        <v>20</v>
      </c>
    </row>
    <row r="7" spans="2:18" ht="21.75" customHeight="1" x14ac:dyDescent="0.35">
      <c r="B7" s="14" t="s">
        <v>65</v>
      </c>
      <c r="C7" s="15">
        <v>55</v>
      </c>
      <c r="D7" s="15">
        <f t="shared" si="0"/>
        <v>1650</v>
      </c>
      <c r="E7" s="15">
        <v>1800</v>
      </c>
      <c r="F7" s="15">
        <f>C7-C6</f>
        <v>0</v>
      </c>
      <c r="G7" s="15">
        <f t="shared" si="1"/>
        <v>0</v>
      </c>
      <c r="H7" s="15">
        <f t="shared" si="2"/>
        <v>0</v>
      </c>
      <c r="I7" s="15">
        <v>650</v>
      </c>
      <c r="J7" s="16">
        <f t="shared" si="3"/>
        <v>660000</v>
      </c>
      <c r="K7" s="16">
        <f t="shared" si="4"/>
        <v>0</v>
      </c>
      <c r="L7" s="16">
        <f t="shared" si="5"/>
        <v>0</v>
      </c>
      <c r="M7" s="16">
        <f t="shared" si="6"/>
        <v>13000</v>
      </c>
      <c r="N7" s="16">
        <f t="shared" si="7"/>
        <v>0</v>
      </c>
      <c r="O7" s="17">
        <f t="shared" si="8"/>
        <v>673000</v>
      </c>
      <c r="Q7" s="87" t="s">
        <v>174</v>
      </c>
      <c r="R7" s="88">
        <v>50</v>
      </c>
    </row>
    <row r="8" spans="2:18" ht="21.75" customHeight="1" x14ac:dyDescent="0.35">
      <c r="B8" s="18" t="s">
        <v>66</v>
      </c>
      <c r="C8" s="15">
        <v>55</v>
      </c>
      <c r="D8" s="15">
        <f t="shared" si="0"/>
        <v>1650</v>
      </c>
      <c r="E8" s="19">
        <v>2100</v>
      </c>
      <c r="F8" s="15">
        <f>C8-C7</f>
        <v>0</v>
      </c>
      <c r="G8" s="15">
        <f t="shared" si="1"/>
        <v>0</v>
      </c>
      <c r="H8" s="15">
        <f t="shared" si="2"/>
        <v>0</v>
      </c>
      <c r="I8" s="19">
        <v>200</v>
      </c>
      <c r="J8" s="16">
        <f t="shared" si="3"/>
        <v>660000</v>
      </c>
      <c r="K8" s="16">
        <f t="shared" si="4"/>
        <v>0</v>
      </c>
      <c r="L8" s="16">
        <f t="shared" si="5"/>
        <v>0</v>
      </c>
      <c r="M8" s="16">
        <f t="shared" si="6"/>
        <v>4000</v>
      </c>
      <c r="N8" s="16">
        <f t="shared" si="7"/>
        <v>0</v>
      </c>
      <c r="O8" s="17">
        <f t="shared" si="8"/>
        <v>664000</v>
      </c>
      <c r="Q8" s="87" t="s">
        <v>150</v>
      </c>
      <c r="R8" s="88">
        <v>5000</v>
      </c>
    </row>
    <row r="9" spans="2:18" ht="21.75" customHeight="1" x14ac:dyDescent="0.35">
      <c r="B9" s="23" t="s">
        <v>67</v>
      </c>
      <c r="C9" s="15">
        <v>55</v>
      </c>
      <c r="D9" s="15">
        <f t="shared" si="0"/>
        <v>1650</v>
      </c>
      <c r="E9" s="24">
        <v>1900</v>
      </c>
      <c r="F9" s="15">
        <f>C9-C8</f>
        <v>0</v>
      </c>
      <c r="G9" s="15">
        <f t="shared" si="1"/>
        <v>0</v>
      </c>
      <c r="H9" s="15">
        <f t="shared" si="2"/>
        <v>0</v>
      </c>
      <c r="I9" s="24">
        <v>-50</v>
      </c>
      <c r="J9" s="16">
        <f t="shared" si="3"/>
        <v>660000</v>
      </c>
      <c r="K9" s="16">
        <f t="shared" si="4"/>
        <v>0</v>
      </c>
      <c r="L9" s="16">
        <f t="shared" si="5"/>
        <v>0</v>
      </c>
      <c r="M9" s="16">
        <f t="shared" si="6"/>
        <v>0</v>
      </c>
      <c r="N9" s="16">
        <f t="shared" si="7"/>
        <v>2500</v>
      </c>
      <c r="O9" s="17">
        <f t="shared" si="8"/>
        <v>662500</v>
      </c>
      <c r="Q9" s="87" t="s">
        <v>153</v>
      </c>
      <c r="R9" s="88">
        <v>8000</v>
      </c>
    </row>
    <row r="10" spans="2:18" ht="21.75" customHeight="1" x14ac:dyDescent="0.35">
      <c r="B10" s="18" t="s">
        <v>68</v>
      </c>
      <c r="C10" s="15">
        <v>55</v>
      </c>
      <c r="D10" s="15">
        <f t="shared" si="0"/>
        <v>1650</v>
      </c>
      <c r="E10" s="19">
        <v>1600</v>
      </c>
      <c r="F10" s="15">
        <f>C10-C9</f>
        <v>0</v>
      </c>
      <c r="G10" s="15">
        <f t="shared" si="1"/>
        <v>0</v>
      </c>
      <c r="H10" s="15">
        <f t="shared" si="2"/>
        <v>0</v>
      </c>
      <c r="I10" s="19">
        <v>0</v>
      </c>
      <c r="J10" s="16">
        <f t="shared" si="3"/>
        <v>660000</v>
      </c>
      <c r="K10" s="16">
        <f t="shared" si="4"/>
        <v>0</v>
      </c>
      <c r="L10" s="16">
        <f t="shared" si="5"/>
        <v>0</v>
      </c>
      <c r="M10" s="16">
        <f t="shared" si="6"/>
        <v>0</v>
      </c>
      <c r="N10" s="16">
        <f t="shared" si="7"/>
        <v>0</v>
      </c>
      <c r="O10" s="17">
        <f t="shared" si="8"/>
        <v>660000</v>
      </c>
      <c r="Q10" s="87" t="s">
        <v>175</v>
      </c>
      <c r="R10" s="88">
        <v>12000</v>
      </c>
    </row>
    <row r="11" spans="2:18" ht="24" customHeight="1" x14ac:dyDescent="0.35">
      <c r="B11" s="71" t="s">
        <v>69</v>
      </c>
      <c r="C11" s="71"/>
      <c r="D11" s="71"/>
      <c r="E11" s="27"/>
      <c r="F11" s="27"/>
      <c r="G11" s="27"/>
      <c r="H11" s="27"/>
      <c r="I11" s="28">
        <f t="shared" ref="I11:N11" si="9">SUM(I5:I10)</f>
        <v>2250</v>
      </c>
      <c r="J11" s="28">
        <f t="shared" si="9"/>
        <v>3960000</v>
      </c>
      <c r="K11" s="28">
        <f t="shared" si="9"/>
        <v>25000</v>
      </c>
      <c r="L11" s="28">
        <f t="shared" si="9"/>
        <v>0</v>
      </c>
      <c r="M11" s="28">
        <f t="shared" si="9"/>
        <v>46000</v>
      </c>
      <c r="N11" s="29">
        <f t="shared" si="9"/>
        <v>2500</v>
      </c>
      <c r="O11" s="92">
        <f>SUM(O5:O10)</f>
        <v>4033500</v>
      </c>
      <c r="Q11" s="87" t="s">
        <v>22</v>
      </c>
      <c r="R11" s="88">
        <v>50</v>
      </c>
    </row>
    <row r="12" spans="2:18" x14ac:dyDescent="0.35">
      <c r="Q12" s="87" t="s">
        <v>176</v>
      </c>
      <c r="R12" s="88">
        <v>200</v>
      </c>
    </row>
    <row r="13" spans="2:18" ht="21.75" customHeight="1" x14ac:dyDescent="0.35">
      <c r="B13" s="72" t="s">
        <v>172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</row>
    <row r="15" spans="2:18" ht="21.75" customHeight="1" x14ac:dyDescent="0.35">
      <c r="B15" s="73" t="s">
        <v>70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</row>
    <row r="16" spans="2:18" ht="19.5" customHeight="1" x14ac:dyDescent="0.35">
      <c r="B16" s="74" t="s">
        <v>71</v>
      </c>
      <c r="C16" s="74"/>
      <c r="D16" s="74"/>
      <c r="E16" s="75" t="s">
        <v>72</v>
      </c>
      <c r="F16" s="75"/>
      <c r="G16" s="75"/>
      <c r="H16" s="74" t="s">
        <v>73</v>
      </c>
      <c r="I16" s="74"/>
      <c r="J16" s="74"/>
      <c r="K16" s="74"/>
      <c r="L16" s="74"/>
      <c r="M16" s="74"/>
      <c r="N16" s="74"/>
    </row>
    <row r="17" spans="2:14" ht="19.5" customHeight="1" x14ac:dyDescent="0.35">
      <c r="B17" s="76" t="s">
        <v>74</v>
      </c>
      <c r="C17" s="76"/>
      <c r="D17" s="76"/>
      <c r="E17" s="77" t="s">
        <v>75</v>
      </c>
      <c r="F17" s="77"/>
      <c r="G17" s="77"/>
      <c r="H17" s="78" t="s">
        <v>76</v>
      </c>
      <c r="I17" s="78"/>
      <c r="J17" s="78"/>
      <c r="K17" s="78"/>
      <c r="L17" s="78"/>
      <c r="M17" s="78"/>
      <c r="N17" s="78"/>
    </row>
    <row r="18" spans="2:14" ht="19.5" customHeight="1" x14ac:dyDescent="0.35">
      <c r="B18" s="79" t="s">
        <v>77</v>
      </c>
      <c r="C18" s="79"/>
      <c r="D18" s="79"/>
      <c r="E18" s="80" t="s">
        <v>78</v>
      </c>
      <c r="F18" s="80"/>
      <c r="G18" s="80"/>
      <c r="H18" s="81" t="s">
        <v>79</v>
      </c>
      <c r="I18" s="81"/>
      <c r="J18" s="81"/>
      <c r="K18" s="81"/>
      <c r="L18" s="81"/>
      <c r="M18" s="81"/>
      <c r="N18" s="81"/>
    </row>
    <row r="19" spans="2:14" ht="19.5" customHeight="1" x14ac:dyDescent="0.35">
      <c r="B19" s="76" t="s">
        <v>80</v>
      </c>
      <c r="C19" s="76"/>
      <c r="D19" s="76"/>
      <c r="E19" s="77" t="s">
        <v>81</v>
      </c>
      <c r="F19" s="77"/>
      <c r="G19" s="77"/>
      <c r="H19" s="78" t="s">
        <v>82</v>
      </c>
      <c r="I19" s="78"/>
      <c r="J19" s="78"/>
      <c r="K19" s="78"/>
      <c r="L19" s="78"/>
      <c r="M19" s="78"/>
      <c r="N19" s="78"/>
    </row>
    <row r="20" spans="2:14" ht="19.5" customHeight="1" x14ac:dyDescent="0.35">
      <c r="B20" s="79" t="s">
        <v>83</v>
      </c>
      <c r="C20" s="79"/>
      <c r="D20" s="79"/>
      <c r="E20" s="80" t="s">
        <v>84</v>
      </c>
      <c r="F20" s="80"/>
      <c r="G20" s="80"/>
      <c r="H20" s="81" t="s">
        <v>85</v>
      </c>
      <c r="I20" s="81"/>
      <c r="J20" s="81"/>
      <c r="K20" s="81"/>
      <c r="L20" s="81"/>
      <c r="M20" s="81"/>
      <c r="N20" s="81"/>
    </row>
    <row r="21" spans="2:14" ht="19.5" customHeight="1" x14ac:dyDescent="0.35">
      <c r="B21" s="76" t="s">
        <v>86</v>
      </c>
      <c r="C21" s="76"/>
      <c r="D21" s="76"/>
      <c r="E21" s="77" t="s">
        <v>87</v>
      </c>
      <c r="F21" s="77"/>
      <c r="G21" s="77"/>
      <c r="H21" s="78" t="s">
        <v>88</v>
      </c>
      <c r="I21" s="78"/>
      <c r="J21" s="78"/>
      <c r="K21" s="78"/>
      <c r="L21" s="78"/>
      <c r="M21" s="78"/>
      <c r="N21" s="78"/>
    </row>
    <row r="22" spans="2:14" ht="19.5" customHeight="1" x14ac:dyDescent="0.35">
      <c r="B22" s="79" t="s">
        <v>89</v>
      </c>
      <c r="C22" s="79"/>
      <c r="D22" s="79"/>
      <c r="E22" s="80" t="s">
        <v>90</v>
      </c>
      <c r="F22" s="80"/>
      <c r="G22" s="80"/>
      <c r="H22" s="81" t="s">
        <v>91</v>
      </c>
      <c r="I22" s="81"/>
      <c r="J22" s="81"/>
      <c r="K22" s="81"/>
      <c r="L22" s="81"/>
      <c r="M22" s="81"/>
      <c r="N22" s="81"/>
    </row>
    <row r="23" spans="2:14" ht="19.5" customHeight="1" x14ac:dyDescent="0.35">
      <c r="B23" s="76" t="s">
        <v>92</v>
      </c>
      <c r="C23" s="76"/>
      <c r="D23" s="76"/>
      <c r="E23" s="77" t="s">
        <v>93</v>
      </c>
      <c r="F23" s="77"/>
      <c r="G23" s="77"/>
      <c r="H23" s="78" t="s">
        <v>94</v>
      </c>
      <c r="I23" s="78"/>
      <c r="J23" s="78"/>
      <c r="K23" s="78"/>
      <c r="L23" s="78"/>
      <c r="M23" s="78"/>
      <c r="N23" s="78"/>
    </row>
    <row r="24" spans="2:14" ht="19.5" customHeight="1" x14ac:dyDescent="0.35">
      <c r="B24" s="79" t="s">
        <v>95</v>
      </c>
      <c r="C24" s="79"/>
      <c r="D24" s="79"/>
      <c r="E24" s="80" t="s">
        <v>96</v>
      </c>
      <c r="F24" s="80"/>
      <c r="G24" s="80"/>
      <c r="H24" s="81" t="s">
        <v>97</v>
      </c>
      <c r="I24" s="81"/>
      <c r="J24" s="81"/>
      <c r="K24" s="81"/>
      <c r="L24" s="81"/>
      <c r="M24" s="81"/>
      <c r="N24" s="81"/>
    </row>
  </sheetData>
  <mergeCells count="32">
    <mergeCell ref="B24:D24"/>
    <mergeCell ref="E24:G24"/>
    <mergeCell ref="H24:N24"/>
    <mergeCell ref="B22:D22"/>
    <mergeCell ref="E22:G22"/>
    <mergeCell ref="H22:N22"/>
    <mergeCell ref="B23:D23"/>
    <mergeCell ref="E23:G23"/>
    <mergeCell ref="H23:N23"/>
    <mergeCell ref="B20:D20"/>
    <mergeCell ref="E20:G20"/>
    <mergeCell ref="H20:N20"/>
    <mergeCell ref="B21:D21"/>
    <mergeCell ref="E21:G21"/>
    <mergeCell ref="H21:N21"/>
    <mergeCell ref="B18:D18"/>
    <mergeCell ref="E18:G18"/>
    <mergeCell ref="H18:N18"/>
    <mergeCell ref="B19:D19"/>
    <mergeCell ref="E19:G19"/>
    <mergeCell ref="H19:N19"/>
    <mergeCell ref="B16:D16"/>
    <mergeCell ref="E16:G16"/>
    <mergeCell ref="H16:N16"/>
    <mergeCell ref="B17:D17"/>
    <mergeCell ref="E17:G17"/>
    <mergeCell ref="H17:N17"/>
    <mergeCell ref="B1:N1"/>
    <mergeCell ref="B2:N2"/>
    <mergeCell ref="B11:D11"/>
    <mergeCell ref="B13:N13"/>
    <mergeCell ref="B15:N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"/>
  <sheetViews>
    <sheetView showGridLines="0" zoomScaleNormal="100" workbookViewId="0">
      <selection activeCell="K14" sqref="K14"/>
    </sheetView>
  </sheetViews>
  <sheetFormatPr defaultColWidth="8.6328125" defaultRowHeight="14.5" x14ac:dyDescent="0.35"/>
  <cols>
    <col min="1" max="1" width="3" customWidth="1"/>
    <col min="2" max="3" width="8" customWidth="1"/>
    <col min="4" max="14" width="13" customWidth="1"/>
    <col min="15" max="15" width="20" customWidth="1"/>
    <col min="16" max="16" width="14" customWidth="1"/>
  </cols>
  <sheetData>
    <row r="1" spans="2:16" ht="30" customHeight="1" x14ac:dyDescent="0.35">
      <c r="B1" s="69" t="s">
        <v>98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2:16" ht="19.5" customHeight="1" x14ac:dyDescent="0.35">
      <c r="B2" s="82" t="s">
        <v>99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4" spans="2:16" ht="36" customHeight="1" x14ac:dyDescent="0.35">
      <c r="B4" s="13" t="s">
        <v>100</v>
      </c>
      <c r="C4" s="13" t="s">
        <v>101</v>
      </c>
      <c r="D4" s="13" t="s">
        <v>102</v>
      </c>
      <c r="E4" s="13" t="s">
        <v>103</v>
      </c>
      <c r="F4" s="13" t="s">
        <v>104</v>
      </c>
      <c r="G4" s="13" t="s">
        <v>105</v>
      </c>
      <c r="H4" s="13" t="s">
        <v>106</v>
      </c>
      <c r="I4" s="13" t="s">
        <v>107</v>
      </c>
      <c r="J4" s="13" t="s">
        <v>179</v>
      </c>
      <c r="K4" s="13" t="s">
        <v>180</v>
      </c>
      <c r="L4" s="13" t="s">
        <v>178</v>
      </c>
      <c r="M4" s="13" t="s">
        <v>177</v>
      </c>
      <c r="N4" s="13" t="s">
        <v>108</v>
      </c>
      <c r="O4" s="13" t="s">
        <v>109</v>
      </c>
      <c r="P4" s="13" t="s">
        <v>110</v>
      </c>
    </row>
    <row r="5" spans="2:16" ht="21.75" customHeight="1" x14ac:dyDescent="0.35">
      <c r="B5" s="30" t="s">
        <v>111</v>
      </c>
      <c r="C5" s="31">
        <v>57</v>
      </c>
      <c r="D5" s="31">
        <v>55</v>
      </c>
      <c r="E5" s="31">
        <v>57</v>
      </c>
      <c r="F5" s="31">
        <v>57</v>
      </c>
      <c r="G5" s="31">
        <v>57</v>
      </c>
      <c r="H5" s="31">
        <v>57</v>
      </c>
      <c r="I5" s="32">
        <v>4080000</v>
      </c>
      <c r="J5" s="32">
        <v>45000</v>
      </c>
      <c r="K5" s="32">
        <v>16000</v>
      </c>
      <c r="L5" s="32">
        <v>47200</v>
      </c>
      <c r="M5" s="32">
        <v>2500</v>
      </c>
      <c r="N5" s="33">
        <f>I5+K5+M5+L5+J5</f>
        <v>4190700</v>
      </c>
      <c r="O5" s="34" t="s">
        <v>112</v>
      </c>
      <c r="P5" s="35" t="s">
        <v>113</v>
      </c>
    </row>
    <row r="6" spans="2:16" ht="21.75" customHeight="1" x14ac:dyDescent="0.35">
      <c r="B6" s="36" t="s">
        <v>114</v>
      </c>
      <c r="C6" s="36">
        <v>55</v>
      </c>
      <c r="D6" s="36">
        <v>55</v>
      </c>
      <c r="E6" s="36">
        <v>55</v>
      </c>
      <c r="F6" s="36">
        <v>55</v>
      </c>
      <c r="G6" s="36">
        <v>55</v>
      </c>
      <c r="H6" s="36">
        <v>55</v>
      </c>
      <c r="I6" s="37">
        <v>3960000</v>
      </c>
      <c r="J6" s="37">
        <v>25000</v>
      </c>
      <c r="K6" s="37">
        <v>0</v>
      </c>
      <c r="L6" s="37">
        <v>46000</v>
      </c>
      <c r="M6" s="37">
        <v>33500</v>
      </c>
      <c r="N6" s="33">
        <f t="shared" ref="N6:N14" si="0">I6+K6+M6+L6+J6</f>
        <v>4064500</v>
      </c>
      <c r="O6" s="38" t="s">
        <v>115</v>
      </c>
      <c r="P6" s="38" t="s">
        <v>116</v>
      </c>
    </row>
    <row r="7" spans="2:16" ht="21.75" customHeight="1" x14ac:dyDescent="0.35">
      <c r="B7" s="30" t="s">
        <v>117</v>
      </c>
      <c r="C7" s="31">
        <v>52</v>
      </c>
      <c r="D7" s="31">
        <v>52</v>
      </c>
      <c r="E7" s="31">
        <v>60</v>
      </c>
      <c r="F7" s="31">
        <v>65</v>
      </c>
      <c r="G7" s="31">
        <v>58</v>
      </c>
      <c r="H7" s="31">
        <v>52</v>
      </c>
      <c r="I7" s="32">
        <v>4068000</v>
      </c>
      <c r="J7" s="32">
        <v>75000</v>
      </c>
      <c r="K7" s="32">
        <v>104000</v>
      </c>
      <c r="L7" s="32">
        <v>44200</v>
      </c>
      <c r="M7" s="32">
        <v>2500</v>
      </c>
      <c r="N7" s="33">
        <f t="shared" si="0"/>
        <v>4293700</v>
      </c>
      <c r="O7" s="39" t="s">
        <v>118</v>
      </c>
      <c r="P7" s="40" t="s">
        <v>119</v>
      </c>
    </row>
    <row r="8" spans="2:16" ht="21.75" customHeight="1" x14ac:dyDescent="0.35">
      <c r="B8" s="41" t="s">
        <v>120</v>
      </c>
      <c r="C8" s="20">
        <v>54</v>
      </c>
      <c r="D8" s="20">
        <v>54</v>
      </c>
      <c r="E8" s="20">
        <v>54</v>
      </c>
      <c r="F8" s="20">
        <v>54</v>
      </c>
      <c r="G8" s="20">
        <v>54</v>
      </c>
      <c r="H8" s="20">
        <v>54</v>
      </c>
      <c r="I8" s="21">
        <v>3888000</v>
      </c>
      <c r="J8" s="21">
        <v>20000</v>
      </c>
      <c r="K8" s="21">
        <v>0</v>
      </c>
      <c r="L8" s="21">
        <v>45400</v>
      </c>
      <c r="M8" s="21">
        <v>2500</v>
      </c>
      <c r="N8" s="33">
        <f t="shared" si="0"/>
        <v>3955900</v>
      </c>
      <c r="O8" s="39" t="s">
        <v>121</v>
      </c>
      <c r="P8" s="40" t="s">
        <v>119</v>
      </c>
    </row>
    <row r="9" spans="2:16" ht="21.75" customHeight="1" x14ac:dyDescent="0.35">
      <c r="B9" s="30" t="s">
        <v>122</v>
      </c>
      <c r="C9" s="31">
        <v>55</v>
      </c>
      <c r="D9" s="31">
        <v>55</v>
      </c>
      <c r="E9" s="31">
        <v>60</v>
      </c>
      <c r="F9" s="31">
        <v>60</v>
      </c>
      <c r="G9" s="31">
        <v>55</v>
      </c>
      <c r="H9" s="31">
        <v>55</v>
      </c>
      <c r="I9" s="32">
        <v>4080000</v>
      </c>
      <c r="J9" s="32">
        <v>50000</v>
      </c>
      <c r="K9" s="32">
        <v>40000</v>
      </c>
      <c r="L9" s="32">
        <v>46000</v>
      </c>
      <c r="M9" s="32">
        <v>2500</v>
      </c>
      <c r="N9" s="33">
        <f t="shared" si="0"/>
        <v>4218500</v>
      </c>
      <c r="O9" s="39" t="s">
        <v>123</v>
      </c>
      <c r="P9" s="40" t="s">
        <v>119</v>
      </c>
    </row>
    <row r="10" spans="2:16" ht="21.75" customHeight="1" x14ac:dyDescent="0.35">
      <c r="B10" s="41" t="s">
        <v>124</v>
      </c>
      <c r="C10" s="20">
        <v>50</v>
      </c>
      <c r="D10" s="20">
        <v>55</v>
      </c>
      <c r="E10" s="20">
        <v>60</v>
      </c>
      <c r="F10" s="20">
        <v>70</v>
      </c>
      <c r="G10" s="20">
        <v>64</v>
      </c>
      <c r="H10" s="20">
        <v>54</v>
      </c>
      <c r="I10" s="21">
        <v>4236000</v>
      </c>
      <c r="J10" s="21">
        <v>100000</v>
      </c>
      <c r="K10" s="21">
        <v>128000</v>
      </c>
      <c r="L10" s="21">
        <v>43000</v>
      </c>
      <c r="M10" s="21">
        <v>2500</v>
      </c>
      <c r="N10" s="33">
        <f t="shared" si="0"/>
        <v>4509500</v>
      </c>
      <c r="O10" s="39" t="s">
        <v>125</v>
      </c>
      <c r="P10" s="40" t="s">
        <v>119</v>
      </c>
    </row>
    <row r="11" spans="2:16" ht="21.75" customHeight="1" x14ac:dyDescent="0.35">
      <c r="B11" s="30" t="s">
        <v>126</v>
      </c>
      <c r="C11" s="31">
        <v>55</v>
      </c>
      <c r="D11" s="31">
        <v>56</v>
      </c>
      <c r="E11" s="31">
        <v>55</v>
      </c>
      <c r="F11" s="31">
        <v>55</v>
      </c>
      <c r="G11" s="31">
        <v>55</v>
      </c>
      <c r="H11" s="31">
        <v>55</v>
      </c>
      <c r="I11" s="32">
        <v>3972000</v>
      </c>
      <c r="J11" s="32">
        <v>30000</v>
      </c>
      <c r="K11" s="32">
        <v>8000</v>
      </c>
      <c r="L11" s="32">
        <v>46000</v>
      </c>
      <c r="M11" s="32">
        <v>2500</v>
      </c>
      <c r="N11" s="33">
        <f t="shared" si="0"/>
        <v>4058500</v>
      </c>
      <c r="O11" s="39" t="s">
        <v>127</v>
      </c>
      <c r="P11" s="40" t="s">
        <v>119</v>
      </c>
    </row>
    <row r="12" spans="2:16" ht="21.75" customHeight="1" x14ac:dyDescent="0.35">
      <c r="B12" s="41" t="s">
        <v>128</v>
      </c>
      <c r="C12" s="20">
        <v>56</v>
      </c>
      <c r="D12" s="20">
        <v>55</v>
      </c>
      <c r="E12" s="20">
        <v>55</v>
      </c>
      <c r="F12" s="20">
        <v>55</v>
      </c>
      <c r="G12" s="20">
        <v>55</v>
      </c>
      <c r="H12" s="20">
        <v>55</v>
      </c>
      <c r="I12" s="21">
        <v>3972000</v>
      </c>
      <c r="J12" s="21">
        <v>30000</v>
      </c>
      <c r="K12" s="21">
        <v>8000</v>
      </c>
      <c r="L12" s="21">
        <v>46600</v>
      </c>
      <c r="M12" s="21">
        <v>2500</v>
      </c>
      <c r="N12" s="33">
        <f t="shared" si="0"/>
        <v>4059100</v>
      </c>
      <c r="O12" s="39" t="s">
        <v>129</v>
      </c>
      <c r="P12" s="40" t="s">
        <v>119</v>
      </c>
    </row>
    <row r="13" spans="2:16" ht="21.75" customHeight="1" x14ac:dyDescent="0.35">
      <c r="B13" s="30" t="s">
        <v>130</v>
      </c>
      <c r="C13" s="31">
        <v>55</v>
      </c>
      <c r="D13" s="31">
        <v>55</v>
      </c>
      <c r="E13" s="31">
        <v>56</v>
      </c>
      <c r="F13" s="31">
        <v>55</v>
      </c>
      <c r="G13" s="31">
        <v>55</v>
      </c>
      <c r="H13" s="31">
        <v>55</v>
      </c>
      <c r="I13" s="32">
        <v>3972000</v>
      </c>
      <c r="J13" s="32">
        <v>30000</v>
      </c>
      <c r="K13" s="32">
        <v>8000</v>
      </c>
      <c r="L13" s="32">
        <v>46000</v>
      </c>
      <c r="M13" s="32">
        <v>2500</v>
      </c>
      <c r="N13" s="33">
        <f t="shared" si="0"/>
        <v>4058500</v>
      </c>
      <c r="O13" s="39" t="s">
        <v>131</v>
      </c>
      <c r="P13" s="40" t="s">
        <v>119</v>
      </c>
    </row>
    <row r="14" spans="2:16" ht="21.75" customHeight="1" x14ac:dyDescent="0.35">
      <c r="B14" s="36" t="s">
        <v>132</v>
      </c>
      <c r="C14" s="36">
        <v>55</v>
      </c>
      <c r="D14" s="36">
        <v>55</v>
      </c>
      <c r="E14" s="36">
        <v>55</v>
      </c>
      <c r="F14" s="36">
        <v>55</v>
      </c>
      <c r="G14" s="36">
        <v>55</v>
      </c>
      <c r="H14" s="36">
        <v>55</v>
      </c>
      <c r="I14" s="37">
        <v>3960000</v>
      </c>
      <c r="J14" s="37">
        <v>25000</v>
      </c>
      <c r="K14" s="37">
        <v>0</v>
      </c>
      <c r="L14" s="37">
        <v>46000</v>
      </c>
      <c r="M14" s="37">
        <v>2500</v>
      </c>
      <c r="N14" s="33">
        <f t="shared" si="0"/>
        <v>4033500</v>
      </c>
      <c r="O14" s="38" t="s">
        <v>133</v>
      </c>
      <c r="P14" s="38" t="s">
        <v>134</v>
      </c>
    </row>
    <row r="16" spans="2:16" ht="24" customHeight="1" x14ac:dyDescent="0.35">
      <c r="B16" s="83" t="s">
        <v>135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</sheetData>
  <mergeCells count="3">
    <mergeCell ref="B1:P1"/>
    <mergeCell ref="B2:P2"/>
    <mergeCell ref="B16:P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showGridLines="0" topLeftCell="A4" zoomScaleNormal="100" workbookViewId="0">
      <selection activeCell="E19" sqref="E19"/>
    </sheetView>
  </sheetViews>
  <sheetFormatPr defaultColWidth="8.6328125" defaultRowHeight="14.5" x14ac:dyDescent="0.35"/>
  <cols>
    <col min="1" max="1" width="3" customWidth="1"/>
    <col min="2" max="12" width="16" customWidth="1"/>
  </cols>
  <sheetData>
    <row r="1" spans="2:12" ht="30" customHeight="1" x14ac:dyDescent="0.35">
      <c r="B1" s="69" t="s">
        <v>136</v>
      </c>
      <c r="C1" s="69"/>
      <c r="D1" s="69"/>
      <c r="E1" s="69"/>
      <c r="F1" s="69"/>
      <c r="G1" s="69"/>
      <c r="H1" s="69"/>
      <c r="I1" s="69"/>
      <c r="J1" s="69"/>
      <c r="K1" s="69"/>
      <c r="L1" s="69"/>
    </row>
    <row r="3" spans="2:12" ht="25.5" customHeight="1" x14ac:dyDescent="0.35">
      <c r="B3" s="42" t="s">
        <v>2</v>
      </c>
      <c r="C3" s="42" t="s">
        <v>137</v>
      </c>
      <c r="D3" s="42" t="s">
        <v>138</v>
      </c>
      <c r="E3" s="42" t="s">
        <v>139</v>
      </c>
      <c r="F3" s="42" t="s">
        <v>140</v>
      </c>
      <c r="G3" s="42" t="s">
        <v>141</v>
      </c>
      <c r="H3" s="42" t="s">
        <v>142</v>
      </c>
    </row>
    <row r="4" spans="2:12" ht="21.75" customHeight="1" x14ac:dyDescent="0.35">
      <c r="B4" s="14" t="s">
        <v>63</v>
      </c>
      <c r="C4" s="16">
        <v>660000</v>
      </c>
      <c r="D4" s="16">
        <v>25000</v>
      </c>
      <c r="E4" s="16">
        <v>0</v>
      </c>
      <c r="F4" s="16">
        <v>13000</v>
      </c>
      <c r="G4" s="16">
        <v>0</v>
      </c>
      <c r="H4" s="17">
        <v>698000</v>
      </c>
    </row>
    <row r="5" spans="2:12" ht="21.75" customHeight="1" x14ac:dyDescent="0.35">
      <c r="B5" s="18" t="s">
        <v>64</v>
      </c>
      <c r="C5" s="21">
        <v>660000</v>
      </c>
      <c r="D5" s="21">
        <v>0</v>
      </c>
      <c r="E5" s="21">
        <v>0</v>
      </c>
      <c r="F5" s="21">
        <v>16000</v>
      </c>
      <c r="G5" s="21">
        <v>0</v>
      </c>
      <c r="H5" s="22">
        <v>676000</v>
      </c>
    </row>
    <row r="6" spans="2:12" ht="21.75" customHeight="1" x14ac:dyDescent="0.35">
      <c r="B6" s="14" t="s">
        <v>65</v>
      </c>
      <c r="C6" s="16">
        <v>660000</v>
      </c>
      <c r="D6" s="16">
        <v>0</v>
      </c>
      <c r="E6" s="16">
        <v>0</v>
      </c>
      <c r="F6" s="16">
        <v>13000</v>
      </c>
      <c r="G6" s="16">
        <v>0</v>
      </c>
      <c r="H6" s="17">
        <v>673000</v>
      </c>
    </row>
    <row r="7" spans="2:12" ht="21.75" customHeight="1" x14ac:dyDescent="0.35">
      <c r="B7" s="18" t="s">
        <v>66</v>
      </c>
      <c r="C7" s="21">
        <v>660000</v>
      </c>
      <c r="D7" s="21">
        <v>0</v>
      </c>
      <c r="E7" s="21">
        <v>0</v>
      </c>
      <c r="F7" s="21">
        <v>4000</v>
      </c>
      <c r="G7" s="21">
        <v>0</v>
      </c>
      <c r="H7" s="22">
        <v>664000</v>
      </c>
    </row>
    <row r="8" spans="2:12" ht="21.75" customHeight="1" x14ac:dyDescent="0.35">
      <c r="B8" s="23" t="s">
        <v>67</v>
      </c>
      <c r="C8" s="25">
        <v>660000</v>
      </c>
      <c r="D8" s="25">
        <v>0</v>
      </c>
      <c r="E8" s="25">
        <v>0</v>
      </c>
      <c r="F8" s="25">
        <v>0</v>
      </c>
      <c r="G8" s="25">
        <v>2500</v>
      </c>
      <c r="H8" s="26">
        <v>662500</v>
      </c>
    </row>
    <row r="9" spans="2:12" ht="21.75" customHeight="1" x14ac:dyDescent="0.35">
      <c r="B9" s="18" t="s">
        <v>68</v>
      </c>
      <c r="C9" s="21">
        <v>660000</v>
      </c>
      <c r="D9" s="21">
        <v>0</v>
      </c>
      <c r="E9" s="21">
        <v>0</v>
      </c>
      <c r="F9" s="21">
        <v>0</v>
      </c>
      <c r="G9" s="21">
        <v>0</v>
      </c>
      <c r="H9" s="22">
        <v>660000</v>
      </c>
    </row>
    <row r="10" spans="2:12" ht="25.5" customHeight="1" x14ac:dyDescent="0.35">
      <c r="B10" s="43" t="s">
        <v>69</v>
      </c>
      <c r="C10" s="44">
        <f t="shared" ref="C10:H10" si="0">SUM(C4:C9)</f>
        <v>3960000</v>
      </c>
      <c r="D10" s="44">
        <f t="shared" si="0"/>
        <v>25000</v>
      </c>
      <c r="E10" s="44">
        <f t="shared" si="0"/>
        <v>0</v>
      </c>
      <c r="F10" s="44">
        <f t="shared" si="0"/>
        <v>46000</v>
      </c>
      <c r="G10" s="44">
        <f t="shared" si="0"/>
        <v>2500</v>
      </c>
      <c r="H10" s="29">
        <f t="shared" si="0"/>
        <v>4033500</v>
      </c>
    </row>
    <row r="12" spans="2:12" ht="24" customHeight="1" x14ac:dyDescent="0.35">
      <c r="B12" s="84" t="s">
        <v>143</v>
      </c>
      <c r="C12" s="84"/>
      <c r="D12" s="84"/>
      <c r="E12" s="84"/>
      <c r="F12" s="84"/>
      <c r="G12" s="84"/>
      <c r="H12" s="84"/>
    </row>
    <row r="13" spans="2:12" ht="21.75" customHeight="1" x14ac:dyDescent="0.35">
      <c r="B13" s="45" t="s">
        <v>71</v>
      </c>
      <c r="C13" s="45" t="s">
        <v>144</v>
      </c>
      <c r="D13" s="45" t="s">
        <v>145</v>
      </c>
      <c r="E13" s="45" t="s">
        <v>146</v>
      </c>
    </row>
    <row r="14" spans="2:12" ht="19.5" customHeight="1" x14ac:dyDescent="0.35">
      <c r="B14" s="46" t="s">
        <v>147</v>
      </c>
      <c r="C14" s="47">
        <v>3960000</v>
      </c>
      <c r="D14" s="48">
        <f>C14/'4_Cost_Breakdown'!H10</f>
        <v>0.98177761249535145</v>
      </c>
      <c r="E14" s="46" t="s">
        <v>148</v>
      </c>
    </row>
    <row r="15" spans="2:12" ht="19.5" customHeight="1" x14ac:dyDescent="0.35">
      <c r="B15" s="49" t="s">
        <v>89</v>
      </c>
      <c r="C15" s="21">
        <v>46000</v>
      </c>
      <c r="D15" s="50">
        <f>C15/'4_Cost_Breakdown'!H10</f>
        <v>1.1404487417875295E-2</v>
      </c>
      <c r="E15" s="49" t="s">
        <v>149</v>
      </c>
    </row>
    <row r="16" spans="2:12" ht="19.5" customHeight="1" x14ac:dyDescent="0.35">
      <c r="B16" s="46" t="s">
        <v>150</v>
      </c>
      <c r="C16" s="47">
        <v>25000</v>
      </c>
      <c r="D16" s="48">
        <f>C16/'4_Cost_Breakdown'!H10</f>
        <v>6.1980909879757037E-3</v>
      </c>
      <c r="E16" s="46" t="s">
        <v>151</v>
      </c>
    </row>
    <row r="17" spans="2:5" ht="19.5" customHeight="1" x14ac:dyDescent="0.35">
      <c r="B17" s="49" t="s">
        <v>92</v>
      </c>
      <c r="C17" s="21">
        <v>2500</v>
      </c>
      <c r="D17" s="50">
        <f>C17/'4_Cost_Breakdown'!H10</f>
        <v>6.1980909879757031E-4</v>
      </c>
      <c r="E17" s="49" t="s">
        <v>152</v>
      </c>
    </row>
    <row r="18" spans="2:5" ht="19.5" customHeight="1" x14ac:dyDescent="0.35">
      <c r="B18" s="46" t="s">
        <v>153</v>
      </c>
      <c r="C18" s="47">
        <v>0</v>
      </c>
      <c r="D18" s="48">
        <f>C18/'4_Cost_Breakdown'!H10</f>
        <v>0</v>
      </c>
      <c r="E18" s="46" t="s">
        <v>154</v>
      </c>
    </row>
    <row r="19" spans="2:5" ht="19.5" customHeight="1" x14ac:dyDescent="0.35">
      <c r="B19" s="51" t="s">
        <v>155</v>
      </c>
      <c r="C19" s="52">
        <v>4033500</v>
      </c>
      <c r="D19" s="53">
        <f>SUM(D14:D18)</f>
        <v>1</v>
      </c>
      <c r="E19" s="51" t="s">
        <v>169</v>
      </c>
    </row>
  </sheetData>
  <mergeCells count="2">
    <mergeCell ref="B1:L1"/>
    <mergeCell ref="B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"/>
  <sheetViews>
    <sheetView showGridLines="0" tabSelected="1" zoomScaleNormal="100" workbookViewId="0">
      <selection activeCell="G9" sqref="G9"/>
    </sheetView>
  </sheetViews>
  <sheetFormatPr defaultColWidth="8.6328125" defaultRowHeight="14.5" x14ac:dyDescent="0.35"/>
  <cols>
    <col min="1" max="1" width="3" customWidth="1"/>
    <col min="2" max="8" width="16" customWidth="1"/>
  </cols>
  <sheetData>
    <row r="1" spans="2:8" ht="27.75" customHeight="1" x14ac:dyDescent="0.35">
      <c r="B1" s="85" t="s">
        <v>156</v>
      </c>
      <c r="C1" s="85"/>
      <c r="D1" s="85"/>
      <c r="E1" s="85"/>
      <c r="F1" s="85"/>
      <c r="G1" s="85"/>
      <c r="H1" s="85"/>
    </row>
    <row r="3" spans="2:8" ht="36" customHeight="1" x14ac:dyDescent="0.35">
      <c r="B3" s="54" t="s">
        <v>2</v>
      </c>
      <c r="C3" s="54" t="s">
        <v>157</v>
      </c>
      <c r="D3" s="54" t="s">
        <v>158</v>
      </c>
      <c r="E3" s="54" t="s">
        <v>52</v>
      </c>
      <c r="F3" s="54" t="s">
        <v>159</v>
      </c>
      <c r="G3" s="54" t="s">
        <v>160</v>
      </c>
      <c r="H3" s="54" t="s">
        <v>161</v>
      </c>
    </row>
    <row r="4" spans="2:8" ht="21.75" customHeight="1" x14ac:dyDescent="0.35">
      <c r="B4" s="14" t="s">
        <v>63</v>
      </c>
      <c r="C4" s="15">
        <v>200</v>
      </c>
      <c r="D4" s="15">
        <v>1650</v>
      </c>
      <c r="E4" s="15">
        <v>1200</v>
      </c>
      <c r="F4" s="55">
        <v>650</v>
      </c>
      <c r="G4" s="56" t="s">
        <v>170</v>
      </c>
      <c r="H4" s="56" t="s">
        <v>162</v>
      </c>
    </row>
    <row r="5" spans="2:8" ht="21.75" customHeight="1" x14ac:dyDescent="0.35">
      <c r="B5" s="18" t="s">
        <v>64</v>
      </c>
      <c r="C5" s="19">
        <v>650</v>
      </c>
      <c r="D5" s="19">
        <v>1650</v>
      </c>
      <c r="E5" s="19">
        <v>1500</v>
      </c>
      <c r="F5" s="57">
        <v>800</v>
      </c>
      <c r="G5" s="49" t="s">
        <v>170</v>
      </c>
      <c r="H5" s="49" t="s">
        <v>163</v>
      </c>
    </row>
    <row r="6" spans="2:8" ht="21.75" customHeight="1" x14ac:dyDescent="0.35">
      <c r="B6" s="14" t="s">
        <v>65</v>
      </c>
      <c r="C6" s="15">
        <v>800</v>
      </c>
      <c r="D6" s="15">
        <v>1650</v>
      </c>
      <c r="E6" s="15">
        <v>1800</v>
      </c>
      <c r="F6" s="55">
        <v>650</v>
      </c>
      <c r="G6" s="56" t="s">
        <v>170</v>
      </c>
      <c r="H6" s="56" t="s">
        <v>162</v>
      </c>
    </row>
    <row r="7" spans="2:8" ht="21.75" customHeight="1" x14ac:dyDescent="0.35">
      <c r="B7" s="18" t="s">
        <v>66</v>
      </c>
      <c r="C7" s="19">
        <v>650</v>
      </c>
      <c r="D7" s="19">
        <v>1650</v>
      </c>
      <c r="E7" s="19">
        <v>2100</v>
      </c>
      <c r="F7" s="57">
        <v>200</v>
      </c>
      <c r="G7" s="49" t="s">
        <v>170</v>
      </c>
      <c r="H7" s="49" t="s">
        <v>164</v>
      </c>
    </row>
    <row r="8" spans="2:8" ht="21.75" customHeight="1" x14ac:dyDescent="0.35">
      <c r="B8" s="23" t="s">
        <v>67</v>
      </c>
      <c r="C8" s="58">
        <v>200</v>
      </c>
      <c r="D8" s="58">
        <v>1650</v>
      </c>
      <c r="E8" s="58">
        <v>1900</v>
      </c>
      <c r="F8" s="58">
        <v>-50</v>
      </c>
      <c r="G8" s="23" t="s">
        <v>165</v>
      </c>
      <c r="H8" s="23" t="s">
        <v>166</v>
      </c>
    </row>
    <row r="9" spans="2:8" ht="21.75" customHeight="1" x14ac:dyDescent="0.35">
      <c r="B9" s="59" t="s">
        <v>68</v>
      </c>
      <c r="C9" s="60">
        <v>-50</v>
      </c>
      <c r="D9" s="60">
        <v>1650</v>
      </c>
      <c r="E9" s="60">
        <v>1600</v>
      </c>
      <c r="F9" s="61">
        <v>0</v>
      </c>
      <c r="G9" s="62" t="s">
        <v>171</v>
      </c>
      <c r="H9" s="62" t="s">
        <v>167</v>
      </c>
    </row>
    <row r="11" spans="2:8" ht="21.75" customHeight="1" x14ac:dyDescent="0.35">
      <c r="B11" s="86" t="s">
        <v>168</v>
      </c>
      <c r="C11" s="86"/>
      <c r="D11" s="86"/>
      <c r="E11" s="86"/>
      <c r="F11" s="86"/>
      <c r="G11" s="86"/>
      <c r="H11" s="86"/>
    </row>
  </sheetData>
  <mergeCells count="2">
    <mergeCell ref="B1:H1"/>
    <mergeCell ref="B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1_Problem_Data</vt:lpstr>
      <vt:lpstr>2_SDR_Optimal_Plan</vt:lpstr>
      <vt:lpstr>3_SDR_Trial_Comparison</vt:lpstr>
      <vt:lpstr>4_Cost_Breakdown</vt:lpstr>
      <vt:lpstr>5_Inventory_Trace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0</cp:revision>
  <dcterms:created xsi:type="dcterms:W3CDTF">2026-04-11T19:27:02Z</dcterms:created>
  <dcterms:modified xsi:type="dcterms:W3CDTF">2026-05-11T13:29:15Z</dcterms:modified>
  <dc:language>en-US</dc:language>
</cp:coreProperties>
</file>